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rmosil\Downloads\"/>
    </mc:Choice>
  </mc:AlternateContent>
  <xr:revisionPtr revIDLastSave="0" documentId="13_ncr:1_{2667F12A-661B-4F86-9513-70EEB75277F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arejas" sheetId="1" r:id="rId1"/>
    <sheet name="Retirad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" i="1" l="1"/>
  <c r="H65" i="1"/>
  <c r="E65" i="1"/>
  <c r="H48" i="1"/>
  <c r="E48" i="1"/>
  <c r="H47" i="1"/>
  <c r="E47" i="1"/>
  <c r="H46" i="1"/>
  <c r="E46" i="1"/>
  <c r="H45" i="1"/>
  <c r="E45" i="1"/>
  <c r="H44" i="1"/>
  <c r="E44" i="1"/>
  <c r="H43" i="1"/>
  <c r="E43" i="1"/>
  <c r="H42" i="1"/>
  <c r="E42" i="1"/>
  <c r="H39" i="1"/>
  <c r="E39" i="1"/>
  <c r="H38" i="1"/>
  <c r="E38" i="1"/>
  <c r="H37" i="1"/>
  <c r="E37" i="1"/>
  <c r="H36" i="1"/>
  <c r="E36" i="1"/>
  <c r="H35" i="1"/>
  <c r="E35" i="1"/>
  <c r="H34" i="1"/>
  <c r="E34" i="1"/>
  <c r="H33" i="1"/>
  <c r="E33" i="1"/>
  <c r="H32" i="1"/>
  <c r="E32" i="1"/>
  <c r="H31" i="1"/>
  <c r="E31" i="1"/>
  <c r="H30" i="1"/>
  <c r="E30" i="1"/>
  <c r="H29" i="1"/>
  <c r="E29" i="1"/>
  <c r="H28" i="1"/>
  <c r="E28" i="1"/>
  <c r="H27" i="1"/>
  <c r="E27" i="1"/>
  <c r="H26" i="1"/>
  <c r="E26" i="1"/>
  <c r="H24" i="1"/>
  <c r="E24" i="1"/>
  <c r="H23" i="1"/>
  <c r="E23" i="1"/>
  <c r="H22" i="1"/>
  <c r="E22" i="1"/>
  <c r="H21" i="1"/>
  <c r="E21" i="1"/>
  <c r="H55" i="1"/>
  <c r="E55" i="1"/>
  <c r="H54" i="1"/>
  <c r="E54" i="1"/>
  <c r="H53" i="1"/>
  <c r="E53" i="1"/>
  <c r="H52" i="1"/>
  <c r="E52" i="1"/>
  <c r="H51" i="1"/>
  <c r="E51" i="1"/>
  <c r="H50" i="1"/>
  <c r="E50" i="1"/>
  <c r="H49" i="1"/>
  <c r="E49" i="1"/>
  <c r="H41" i="1"/>
  <c r="E41" i="1"/>
  <c r="H40" i="1"/>
  <c r="E40" i="1"/>
  <c r="H20" i="1"/>
  <c r="E20" i="1"/>
  <c r="H19" i="1"/>
  <c r="E19" i="1"/>
  <c r="H18" i="1"/>
  <c r="E18" i="1"/>
  <c r="H17" i="1"/>
  <c r="E17" i="1"/>
  <c r="H16" i="1"/>
  <c r="E16" i="1"/>
  <c r="H15" i="1"/>
  <c r="E15" i="1"/>
  <c r="H14" i="1"/>
  <c r="E14" i="1"/>
  <c r="H13" i="1"/>
  <c r="E13" i="1"/>
  <c r="H12" i="1"/>
  <c r="E12" i="1"/>
  <c r="H11" i="1"/>
  <c r="E11" i="1"/>
  <c r="H10" i="1"/>
  <c r="E10" i="1"/>
  <c r="H3" i="1"/>
  <c r="H4" i="1"/>
  <c r="H5" i="1"/>
  <c r="H6" i="1"/>
  <c r="H7" i="1"/>
  <c r="H8" i="1"/>
  <c r="H9" i="1"/>
  <c r="H25" i="1"/>
  <c r="H56" i="1"/>
  <c r="H57" i="1"/>
  <c r="H58" i="1"/>
  <c r="H59" i="1"/>
  <c r="H60" i="1"/>
  <c r="H61" i="1"/>
  <c r="H62" i="1"/>
  <c r="H63" i="1"/>
  <c r="H64" i="1"/>
  <c r="H66" i="1"/>
  <c r="H67" i="1"/>
  <c r="H68" i="1"/>
  <c r="H69" i="1"/>
  <c r="H70" i="1"/>
  <c r="H2" i="1"/>
  <c r="E70" i="1"/>
  <c r="E69" i="1"/>
  <c r="E68" i="1"/>
  <c r="E67" i="1"/>
  <c r="E66" i="1"/>
  <c r="E63" i="1"/>
  <c r="E62" i="1"/>
  <c r="E61" i="1"/>
  <c r="E60" i="1"/>
  <c r="E59" i="1"/>
  <c r="E58" i="1"/>
  <c r="E57" i="1"/>
  <c r="E56" i="1"/>
  <c r="E25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<sst xmlns="http://schemas.openxmlformats.org/spreadsheetml/2006/main" count="208" uniqueCount="185">
  <si>
    <t>Division</t>
  </si>
  <si>
    <t>Jugador1</t>
  </si>
  <si>
    <t>Jugador2</t>
  </si>
  <si>
    <t>Pareja</t>
  </si>
  <si>
    <t>Puntos1</t>
  </si>
  <si>
    <t>Puntos2</t>
  </si>
  <si>
    <t>Grego</t>
  </si>
  <si>
    <t>Happy</t>
  </si>
  <si>
    <t>Junior</t>
  </si>
  <si>
    <t>Loren Portillo</t>
  </si>
  <si>
    <t>Santi Molina</t>
  </si>
  <si>
    <t>Manolo Gómez</t>
  </si>
  <si>
    <t>Jose Ramón</t>
  </si>
  <si>
    <t>Fabián Morata</t>
  </si>
  <si>
    <t>Tote</t>
  </si>
  <si>
    <t>Álvaro Molina</t>
  </si>
  <si>
    <t>Albertillo</t>
  </si>
  <si>
    <t>Javi Castillo</t>
  </si>
  <si>
    <t>Curro</t>
  </si>
  <si>
    <t>Raúl Garcia</t>
  </si>
  <si>
    <t>Manuel Choto</t>
  </si>
  <si>
    <t>Jesús Rodrigo</t>
  </si>
  <si>
    <t>Antonio Jesús</t>
  </si>
  <si>
    <t>Loren Perea</t>
  </si>
  <si>
    <t>Vicente Agüera</t>
  </si>
  <si>
    <t>Luis Mena</t>
  </si>
  <si>
    <t>Fran Collado</t>
  </si>
  <si>
    <t>Juanjo</t>
  </si>
  <si>
    <t>Juanele</t>
  </si>
  <si>
    <t>Sergio Campoy</t>
  </si>
  <si>
    <t>Jose Alberto Navarro</t>
  </si>
  <si>
    <t>Carlos Domínguez</t>
  </si>
  <si>
    <t>Adri Pérez Ibáñez</t>
  </si>
  <si>
    <t>Pablo Cano</t>
  </si>
  <si>
    <t>Juanji</t>
  </si>
  <si>
    <t>Salvita Jiménez</t>
  </si>
  <si>
    <t>Pepe Conde</t>
  </si>
  <si>
    <t>Adrián Pérez López</t>
  </si>
  <si>
    <t>Adrián Martínez</t>
  </si>
  <si>
    <t>Pedrito Almansa</t>
  </si>
  <si>
    <t>Manu Morata</t>
  </si>
  <si>
    <t>Antonio Ballesteros</t>
  </si>
  <si>
    <t>Jose Galvez</t>
  </si>
  <si>
    <t>Rafael Castro</t>
  </si>
  <si>
    <t>Juan Sánchez Jr.</t>
  </si>
  <si>
    <t>Ramón Ruiz</t>
  </si>
  <si>
    <t>Alejandro Ferro</t>
  </si>
  <si>
    <t>Alberto Lomas</t>
  </si>
  <si>
    <t>Vanesa Platero</t>
  </si>
  <si>
    <t>José Manuel Jurado</t>
  </si>
  <si>
    <t>Javier Morón</t>
  </si>
  <si>
    <t>Anselmo Martínez</t>
  </si>
  <si>
    <t>José Antonio Sequera</t>
  </si>
  <si>
    <t>Pablo Ruiz</t>
  </si>
  <si>
    <t>Manolo Toribio</t>
  </si>
  <si>
    <t>Manuel Cruz</t>
  </si>
  <si>
    <t>Luis Medina</t>
  </si>
  <si>
    <t>Jesús Serra</t>
  </si>
  <si>
    <t>Jose Manuel Ibañez</t>
  </si>
  <si>
    <t>Ángel Chinchilla</t>
  </si>
  <si>
    <t>Alberto Serrano</t>
  </si>
  <si>
    <t>Paco Hermosilla</t>
  </si>
  <si>
    <t>Tomás López</t>
  </si>
  <si>
    <t>Jose Carlos Jiménez</t>
  </si>
  <si>
    <t>Vanessa Platero</t>
  </si>
  <si>
    <t>Álvaro Cazorla</t>
  </si>
  <si>
    <t>Rosa López</t>
  </si>
  <si>
    <t>Luis Ángel</t>
  </si>
  <si>
    <t>Pedro Correas</t>
  </si>
  <si>
    <t>Alfonsito</t>
  </si>
  <si>
    <t>Fran Cano</t>
  </si>
  <si>
    <t>Gusi</t>
  </si>
  <si>
    <t>Joaquín Gea</t>
  </si>
  <si>
    <t>Ramón Piedra</t>
  </si>
  <si>
    <t>Raúl Olivetti</t>
  </si>
  <si>
    <t>Antonio Gálvez</t>
  </si>
  <si>
    <t>Marcos Moreno</t>
  </si>
  <si>
    <t>Paco Zamora</t>
  </si>
  <si>
    <t>David Hermosilla</t>
  </si>
  <si>
    <t>Julio Carabias</t>
  </si>
  <si>
    <t>Manuel Garzón</t>
  </si>
  <si>
    <t>Julián</t>
  </si>
  <si>
    <t>David Ballesteros</t>
  </si>
  <si>
    <t>Juanmi Sanabria</t>
  </si>
  <si>
    <t>Manuel Cerezo</t>
  </si>
  <si>
    <t>Pedro Conde</t>
  </si>
  <si>
    <t>Juan Sánchez Sr.</t>
  </si>
  <si>
    <t>Vivi</t>
  </si>
  <si>
    <t>Mariano</t>
  </si>
  <si>
    <t>Juan Carlos Illescas</t>
  </si>
  <si>
    <t>Manuel Ortega</t>
  </si>
  <si>
    <t>Paco Rama</t>
  </si>
  <si>
    <t>Emilio Briones</t>
  </si>
  <si>
    <t>Antonio Girón</t>
  </si>
  <si>
    <t>Víctor Ocaña</t>
  </si>
  <si>
    <t>Pedro Utrera</t>
  </si>
  <si>
    <t>Sergio Garrote</t>
  </si>
  <si>
    <t>Ángel Torres</t>
  </si>
  <si>
    <t>Manuel López</t>
  </si>
  <si>
    <t>Jose David</t>
  </si>
  <si>
    <t>Jose Alberto Agenjo</t>
  </si>
  <si>
    <t>Joel Aguilera</t>
  </si>
  <si>
    <t>Luismi</t>
  </si>
  <si>
    <t>Alberto López</t>
  </si>
  <si>
    <t>Francisco Reca</t>
  </si>
  <si>
    <t>Daniel González</t>
  </si>
  <si>
    <t>Gabriel Gálvez</t>
  </si>
  <si>
    <t>Juan Ferro</t>
  </si>
  <si>
    <t>Juan Carlos Mesa</t>
  </si>
  <si>
    <t>Ángel Jurado</t>
  </si>
  <si>
    <t>Manuel Ruiz</t>
  </si>
  <si>
    <t>Javi Porras</t>
  </si>
  <si>
    <t>Antonio Luis Peña</t>
  </si>
  <si>
    <t>Juan Manuel Lloris</t>
  </si>
  <si>
    <t>Raquel Fernández</t>
  </si>
  <si>
    <t>Javi Barrios</t>
  </si>
  <si>
    <t>Ray Jiménez</t>
  </si>
  <si>
    <t>Sergio Serra</t>
  </si>
  <si>
    <t>Ángel Villar</t>
  </si>
  <si>
    <t>Javier Escribano</t>
  </si>
  <si>
    <t>Jaime Baltanas</t>
  </si>
  <si>
    <t>Manolo Juárez</t>
  </si>
  <si>
    <t>Álvaro López Garcia</t>
  </si>
  <si>
    <t>Isa Monsalve</t>
  </si>
  <si>
    <t>Estefanía</t>
  </si>
  <si>
    <t>Maria del Mar Morata</t>
  </si>
  <si>
    <t>Alejandro Jiménez</t>
  </si>
  <si>
    <t>Rocío Muñoz</t>
  </si>
  <si>
    <t>Sandra Rodríguez</t>
  </si>
  <si>
    <t>Adrian Camacho</t>
  </si>
  <si>
    <t>Quitados Superliga</t>
  </si>
  <si>
    <t>Jugador</t>
  </si>
  <si>
    <t>Puntos</t>
  </si>
  <si>
    <t>Nota</t>
  </si>
  <si>
    <t>José Jurado</t>
  </si>
  <si>
    <t>53,75</t>
  </si>
  <si>
    <t>Carlos Pastor</t>
  </si>
  <si>
    <t>57,5</t>
  </si>
  <si>
    <t>Francisco Javier Torres</t>
  </si>
  <si>
    <t>6ª Categoría</t>
  </si>
  <si>
    <t>Lorenzo Romero</t>
  </si>
  <si>
    <t>26,5</t>
  </si>
  <si>
    <t>Adrián Moreno</t>
  </si>
  <si>
    <t>8,5</t>
  </si>
  <si>
    <t>9ª Categoría</t>
  </si>
  <si>
    <t>Álvaro Díaz Mayol</t>
  </si>
  <si>
    <t>Manolillo</t>
  </si>
  <si>
    <t>68,5</t>
  </si>
  <si>
    <t>1ª Categoría</t>
  </si>
  <si>
    <t>78,5</t>
  </si>
  <si>
    <t>3ª Categoría</t>
  </si>
  <si>
    <t>8ª Categoría</t>
  </si>
  <si>
    <t>David Ruiz</t>
  </si>
  <si>
    <t>Alvarito</t>
  </si>
  <si>
    <t>4ª Categoria</t>
  </si>
  <si>
    <t>Adolfo</t>
  </si>
  <si>
    <t>Laura Rodrigo</t>
  </si>
  <si>
    <t>5,6</t>
  </si>
  <si>
    <t>10ª Categoría</t>
  </si>
  <si>
    <t>Mª Ángeles Castro</t>
  </si>
  <si>
    <t>Sergio Mudarra</t>
  </si>
  <si>
    <t>59,75</t>
  </si>
  <si>
    <t>4ª Categoría</t>
  </si>
  <si>
    <t>Iñaki</t>
  </si>
  <si>
    <t>2ª Categoria</t>
  </si>
  <si>
    <t>Enrique Garcia</t>
  </si>
  <si>
    <t>7ª Categoría</t>
  </si>
  <si>
    <t>Jose Domingo</t>
  </si>
  <si>
    <t>Cristina</t>
  </si>
  <si>
    <t>Ruano</t>
  </si>
  <si>
    <t>Javi Granados</t>
  </si>
  <si>
    <t>Emilio Briones Jr</t>
  </si>
  <si>
    <t>Manuel Moreno</t>
  </si>
  <si>
    <t>Agenjo</t>
  </si>
  <si>
    <t>Antonio Jesús Martos</t>
  </si>
  <si>
    <t>Fran Otto</t>
  </si>
  <si>
    <t>Total</t>
  </si>
  <si>
    <t>OrdenInicial</t>
  </si>
  <si>
    <t>Ricardo García</t>
  </si>
  <si>
    <t>David Bellido</t>
  </si>
  <si>
    <t>Manuel Bellido</t>
  </si>
  <si>
    <t>Laura</t>
  </si>
  <si>
    <t>Mari Angeles</t>
  </si>
  <si>
    <t>Miguel Angel Arenas</t>
  </si>
  <si>
    <t>Rafa Robles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</si>
</sst>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7"/>
      <color theme="1"/>
      <name val="Arial"/>
      <family val="2"/>
    </font>
    <font>
      <sz val="10"/>
      <color theme="1"/>
      <name val="Arial"/>
      <family val="2"/>
    </font>
    <font>
      <sz val="13"/>
      <color theme="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medium">
        <color rgb="FFFFFFFF"/>
      </left>
      <right style="medium">
        <color rgb="FFFFFFFF"/>
      </right>
      <top style="medium">
        <color rgb="FF4F81BD"/>
      </top>
      <bottom style="medium">
        <color rgb="FFFFFFFF"/>
      </bottom>
      <diagonal/>
    </border>
    <border>
      <left style="medium">
        <color rgb="FFCCCCCC"/>
      </left>
      <right style="medium">
        <color rgb="FFFFFFFF"/>
      </right>
      <top style="medium">
        <color rgb="FF4F81BD"/>
      </top>
      <bottom style="medium">
        <color rgb="FFFFFFF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3" fontId="3" fillId="0" borderId="2" xfId="0" applyNumberFormat="1" applyFont="1" applyBorder="1" applyAlignment="1">
      <alignment horizontal="right" wrapText="1"/>
    </xf>
    <xf numFmtId="0" fontId="3" fillId="0" borderId="3" xfId="0" applyFont="1" applyBorder="1" applyAlignment="1">
      <alignment wrapText="1"/>
    </xf>
    <xf numFmtId="0" fontId="0" fillId="3" borderId="0" xfId="0" applyFill="1"/>
    <xf numFmtId="0" fontId="1" fillId="0" borderId="4" xfId="0" applyFont="1" applyBorder="1" applyAlignment="1">
      <alignment horizontal="center" vertical="top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3" borderId="5" xfId="0" applyFill="1" applyBorder="1"/>
    <xf numFmtId="0" fontId="3" fillId="0" borderId="5" xfId="0" applyFont="1" applyBorder="1" applyAlignment="1">
      <alignment horizontal="right" wrapText="1"/>
    </xf>
    <xf numFmtId="0" fontId="0" fillId="0" borderId="2" xfId="0" applyBorder="1"/>
    <xf numFmtId="0" fontId="0" fillId="2" borderId="5" xfId="0" applyFill="1" applyBorder="1"/>
    <xf numFmtId="0" fontId="0" fillId="4" borderId="8" xfId="0" applyFill="1" applyBorder="1" applyAlignment="1">
      <alignment vertical="center" wrapText="1"/>
    </xf>
    <xf numFmtId="0" fontId="0" fillId="4" borderId="9" xfId="0" applyFill="1" applyBorder="1" applyAlignment="1">
      <alignment vertical="center" wrapText="1"/>
    </xf>
  </cellXfs>
  <cellStyles count="1">
    <cellStyle name="Normal" xfId="0" builtinId="0"/>
  </cellStyles>
  <dxfs count="2">
    <dxf>
      <fill>
        <patternFill patternType="solid">
          <fgColor indexed="64"/>
          <bgColor rgb="FF92D05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1F46C5-E7F8-4EC6-BC04-13FC046E9002}" name="Table1" displayName="Table1" ref="A1:H70" totalsRowShown="0" headerRowDxfId="1">
  <autoFilter ref="A1:H70" xr:uid="{981F46C5-E7F8-4EC6-BC04-13FC046E9002}"/>
  <sortState xmlns:xlrd2="http://schemas.microsoft.com/office/spreadsheetml/2017/richdata2" ref="A2:H70">
    <sortCondition ref="A1:A70"/>
  </sortState>
  <tableColumns count="8">
    <tableColumn id="1" xr3:uid="{F807307C-1923-43CD-9BE6-597899417869}" name="OrdenInicial"/>
    <tableColumn id="2" xr3:uid="{6AF84387-7D32-4414-8CAC-5A560EADBC4A}" name="Division"/>
    <tableColumn id="3" xr3:uid="{84AD3FD4-D92A-4231-887E-3C7BD2E9EBC2}" name="Jugador1"/>
    <tableColumn id="4" xr3:uid="{82CA3A8B-F39B-4BCE-BCC6-304975B679B0}" name="Jugador2"/>
    <tableColumn id="5" xr3:uid="{94FFF918-49E4-4CD6-ACBA-DF1430BA0582}" name="Pareja" dataDxfId="0">
      <calculatedColumnFormula>_xlfn.CONCAT(C2," - ",D2)</calculatedColumnFormula>
    </tableColumn>
    <tableColumn id="6" xr3:uid="{A4412226-10DC-49FE-A9BD-51D3566ADADD}" name="Puntos1"/>
    <tableColumn id="7" xr3:uid="{7F2FD959-B902-4327-8ADC-A00D572DB9A9}" name="Puntos2"/>
    <tableColumn id="8" xr3:uid="{4467FD46-A726-4724-83F0-1290D903BD11}" name="Total">
      <calculatedColumnFormula>SUM(F2,G2)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zoomScaleNormal="100" workbookViewId="0">
      <selection activeCell="C13" sqref="C13"/>
    </sheetView>
  </sheetViews>
  <sheetFormatPr defaultRowHeight="15" x14ac:dyDescent="0.25"/>
  <cols>
    <col min="1" max="1" width="12.7109375" customWidth="1"/>
    <col min="2" max="2" width="9.42578125" customWidth="1"/>
    <col min="3" max="3" width="18.7109375" bestFit="1" customWidth="1"/>
    <col min="4" max="4" width="19.28515625" bestFit="1" customWidth="1"/>
    <col min="5" max="5" width="35.28515625" bestFit="1" customWidth="1"/>
    <col min="6" max="7" width="9.7109375" customWidth="1"/>
  </cols>
  <sheetData>
    <row r="1" spans="1:8" x14ac:dyDescent="0.25">
      <c r="A1" t="s">
        <v>177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0" t="s">
        <v>176</v>
      </c>
    </row>
    <row r="2" spans="1:8" x14ac:dyDescent="0.25">
      <c r="A2">
        <v>1</v>
      </c>
      <c r="B2">
        <v>1</v>
      </c>
      <c r="C2" t="s">
        <v>6</v>
      </c>
      <c r="D2" t="s">
        <v>67</v>
      </c>
      <c r="E2" s="2" t="str">
        <f t="shared" ref="E2:E25" si="0">_xlfn.CONCAT(C2," - ",D2)</f>
        <v>Grego - Luis Ángel</v>
      </c>
      <c r="F2">
        <v>78.25</v>
      </c>
      <c r="G2">
        <v>78.25</v>
      </c>
      <c r="H2">
        <f t="shared" ref="H2:H25" si="1">SUM(F2,G2)</f>
        <v>156.5</v>
      </c>
    </row>
    <row r="3" spans="1:8" x14ac:dyDescent="0.25">
      <c r="A3">
        <v>2</v>
      </c>
      <c r="B3">
        <v>1</v>
      </c>
      <c r="C3" t="s">
        <v>7</v>
      </c>
      <c r="D3" t="s">
        <v>68</v>
      </c>
      <c r="E3" s="2" t="str">
        <f t="shared" si="0"/>
        <v>Happy - Pedro Correas</v>
      </c>
      <c r="F3">
        <v>89.75</v>
      </c>
      <c r="G3">
        <v>83.5</v>
      </c>
      <c r="H3">
        <f t="shared" si="1"/>
        <v>173.25</v>
      </c>
    </row>
    <row r="4" spans="1:8" x14ac:dyDescent="0.25">
      <c r="A4">
        <v>3</v>
      </c>
      <c r="B4">
        <v>1</v>
      </c>
      <c r="C4" t="s">
        <v>8</v>
      </c>
      <c r="D4" t="s">
        <v>69</v>
      </c>
      <c r="E4" s="2" t="str">
        <f t="shared" si="0"/>
        <v>Junior - Alfonsito</v>
      </c>
      <c r="F4">
        <v>125</v>
      </c>
      <c r="G4">
        <v>125</v>
      </c>
      <c r="H4">
        <f t="shared" si="1"/>
        <v>250</v>
      </c>
    </row>
    <row r="5" spans="1:8" x14ac:dyDescent="0.25">
      <c r="A5">
        <v>4</v>
      </c>
      <c r="B5">
        <v>1</v>
      </c>
      <c r="C5" t="s">
        <v>14</v>
      </c>
      <c r="D5" t="s">
        <v>75</v>
      </c>
      <c r="E5" s="2" t="str">
        <f t="shared" si="0"/>
        <v>Tote - Antonio Gálvez</v>
      </c>
      <c r="F5">
        <v>113</v>
      </c>
      <c r="G5">
        <v>102.5</v>
      </c>
      <c r="H5">
        <f t="shared" si="1"/>
        <v>215.5</v>
      </c>
    </row>
    <row r="6" spans="1:8" x14ac:dyDescent="0.25">
      <c r="A6">
        <v>5</v>
      </c>
      <c r="B6">
        <v>1</v>
      </c>
      <c r="C6" t="s">
        <v>10</v>
      </c>
      <c r="D6" t="s">
        <v>71</v>
      </c>
      <c r="E6" s="2" t="str">
        <f t="shared" si="0"/>
        <v>Santi Molina - Gusi</v>
      </c>
      <c r="F6">
        <v>85.25</v>
      </c>
      <c r="G6">
        <v>72.25</v>
      </c>
      <c r="H6">
        <f t="shared" si="1"/>
        <v>157.5</v>
      </c>
    </row>
    <row r="7" spans="1:8" x14ac:dyDescent="0.25">
      <c r="A7">
        <v>6</v>
      </c>
      <c r="B7">
        <v>1</v>
      </c>
      <c r="C7" t="s">
        <v>11</v>
      </c>
      <c r="D7" t="s">
        <v>72</v>
      </c>
      <c r="E7" s="2" t="str">
        <f t="shared" si="0"/>
        <v>Manolo Gómez - Joaquín Gea</v>
      </c>
      <c r="F7">
        <v>91.75</v>
      </c>
      <c r="G7">
        <v>91.75</v>
      </c>
      <c r="H7">
        <f t="shared" si="1"/>
        <v>183.5</v>
      </c>
    </row>
    <row r="8" spans="1:8" x14ac:dyDescent="0.25">
      <c r="A8">
        <v>7</v>
      </c>
      <c r="B8">
        <v>1</v>
      </c>
      <c r="C8" t="s">
        <v>12</v>
      </c>
      <c r="D8" t="s">
        <v>73</v>
      </c>
      <c r="E8" s="2" t="str">
        <f t="shared" si="0"/>
        <v>Jose Ramón - Ramón Piedra</v>
      </c>
      <c r="F8">
        <v>101.625</v>
      </c>
      <c r="G8">
        <v>66.625</v>
      </c>
      <c r="H8">
        <f t="shared" si="1"/>
        <v>168.25</v>
      </c>
    </row>
    <row r="9" spans="1:8" x14ac:dyDescent="0.25">
      <c r="A9">
        <v>8</v>
      </c>
      <c r="B9">
        <v>1</v>
      </c>
      <c r="C9" t="s">
        <v>13</v>
      </c>
      <c r="D9" t="s">
        <v>74</v>
      </c>
      <c r="E9" s="2" t="str">
        <f t="shared" si="0"/>
        <v>Fabián Morata - Raúl Olivetti</v>
      </c>
      <c r="F9">
        <v>83.625</v>
      </c>
      <c r="G9">
        <v>83.125</v>
      </c>
      <c r="H9">
        <f t="shared" si="1"/>
        <v>166.75</v>
      </c>
    </row>
    <row r="10" spans="1:8" x14ac:dyDescent="0.25">
      <c r="A10">
        <v>9</v>
      </c>
      <c r="B10" s="11">
        <v>2</v>
      </c>
      <c r="C10" s="11" t="s">
        <v>16</v>
      </c>
      <c r="D10" s="11" t="s">
        <v>76</v>
      </c>
      <c r="E10" s="17" t="str">
        <f t="shared" si="0"/>
        <v>Albertillo - Marcos Moreno</v>
      </c>
      <c r="F10" s="11">
        <v>76.894999999999996</v>
      </c>
      <c r="G10" s="11">
        <v>50.375</v>
      </c>
      <c r="H10" s="12">
        <f t="shared" si="1"/>
        <v>127.27</v>
      </c>
    </row>
    <row r="11" spans="1:8" x14ac:dyDescent="0.25">
      <c r="A11">
        <v>10</v>
      </c>
      <c r="B11" s="11">
        <v>2</v>
      </c>
      <c r="C11" s="11" t="s">
        <v>18</v>
      </c>
      <c r="D11" s="11" t="s">
        <v>79</v>
      </c>
      <c r="E11" s="17" t="str">
        <f t="shared" si="0"/>
        <v>Curro - Julio Carabias</v>
      </c>
      <c r="F11" s="11">
        <v>74</v>
      </c>
      <c r="G11" s="11">
        <v>53.75</v>
      </c>
      <c r="H11" s="12">
        <f t="shared" si="1"/>
        <v>127.75</v>
      </c>
    </row>
    <row r="12" spans="1:8" x14ac:dyDescent="0.25">
      <c r="A12">
        <v>11</v>
      </c>
      <c r="B12" s="11">
        <v>2</v>
      </c>
      <c r="C12" s="11" t="s">
        <v>20</v>
      </c>
      <c r="D12" s="11" t="s">
        <v>81</v>
      </c>
      <c r="E12" s="17" t="str">
        <f t="shared" si="0"/>
        <v>Manuel Choto - Julián</v>
      </c>
      <c r="F12" s="11">
        <v>68</v>
      </c>
      <c r="G12" s="11">
        <v>68</v>
      </c>
      <c r="H12" s="12">
        <f t="shared" si="1"/>
        <v>136</v>
      </c>
    </row>
    <row r="13" spans="1:8" x14ac:dyDescent="0.25">
      <c r="A13">
        <v>12</v>
      </c>
      <c r="B13" s="11">
        <v>2</v>
      </c>
      <c r="C13" s="11" t="s">
        <v>15</v>
      </c>
      <c r="D13" s="11" t="s">
        <v>21</v>
      </c>
      <c r="E13" s="14" t="str">
        <f t="shared" si="0"/>
        <v>Álvaro Molina - Jesús Rodrigo</v>
      </c>
      <c r="F13" s="11">
        <v>87.75</v>
      </c>
      <c r="G13" s="11">
        <v>95.375</v>
      </c>
      <c r="H13" s="12">
        <f t="shared" si="1"/>
        <v>183.125</v>
      </c>
    </row>
    <row r="14" spans="1:8" x14ac:dyDescent="0.25">
      <c r="A14">
        <v>13</v>
      </c>
      <c r="B14" s="11">
        <v>2</v>
      </c>
      <c r="C14" s="11" t="s">
        <v>17</v>
      </c>
      <c r="D14" s="11" t="s">
        <v>29</v>
      </c>
      <c r="E14" s="14" t="str">
        <f t="shared" si="0"/>
        <v>Javi Castillo - Sergio Campoy</v>
      </c>
      <c r="F14" s="11">
        <v>93.25</v>
      </c>
      <c r="G14" s="15">
        <v>69</v>
      </c>
      <c r="H14" s="12">
        <f t="shared" si="1"/>
        <v>162.25</v>
      </c>
    </row>
    <row r="15" spans="1:8" ht="15.75" thickBot="1" x14ac:dyDescent="0.3">
      <c r="A15">
        <v>14</v>
      </c>
      <c r="B15" s="11">
        <v>2</v>
      </c>
      <c r="C15" s="11" t="s">
        <v>25</v>
      </c>
      <c r="D15" s="11" t="s">
        <v>31</v>
      </c>
      <c r="E15" s="14" t="str">
        <f t="shared" si="0"/>
        <v>Luis Mena - Carlos Domínguez</v>
      </c>
      <c r="F15" s="11">
        <v>68</v>
      </c>
      <c r="G15" s="11">
        <v>72.375</v>
      </c>
      <c r="H15" s="12">
        <f t="shared" si="1"/>
        <v>140.375</v>
      </c>
    </row>
    <row r="16" spans="1:8" ht="15.75" thickBot="1" x14ac:dyDescent="0.3">
      <c r="A16">
        <v>15</v>
      </c>
      <c r="B16" s="11">
        <v>2</v>
      </c>
      <c r="C16" s="11" t="s">
        <v>23</v>
      </c>
      <c r="D16" s="11" t="s">
        <v>90</v>
      </c>
      <c r="E16" s="14" t="str">
        <f t="shared" si="0"/>
        <v>Loren Perea - Manuel Ortega</v>
      </c>
      <c r="F16" s="11">
        <v>55</v>
      </c>
      <c r="G16" s="16">
        <v>59.5</v>
      </c>
      <c r="H16" s="12">
        <f t="shared" si="1"/>
        <v>114.5</v>
      </c>
    </row>
    <row r="17" spans="1:8" x14ac:dyDescent="0.25">
      <c r="A17">
        <v>16</v>
      </c>
      <c r="B17" s="11">
        <v>2</v>
      </c>
      <c r="C17" s="11" t="s">
        <v>9</v>
      </c>
      <c r="D17" s="11" t="s">
        <v>83</v>
      </c>
      <c r="E17" s="14" t="str">
        <f t="shared" si="0"/>
        <v>Loren Portillo - Juanmi Sanabria</v>
      </c>
      <c r="F17" s="11">
        <v>92.25</v>
      </c>
      <c r="G17" s="11">
        <v>0</v>
      </c>
      <c r="H17" s="12">
        <f t="shared" si="1"/>
        <v>92.25</v>
      </c>
    </row>
    <row r="18" spans="1:8" x14ac:dyDescent="0.25">
      <c r="A18">
        <v>17</v>
      </c>
      <c r="B18" s="11">
        <v>3</v>
      </c>
      <c r="C18" s="11" t="s">
        <v>26</v>
      </c>
      <c r="D18" s="11" t="s">
        <v>88</v>
      </c>
      <c r="E18" s="17" t="str">
        <f t="shared" si="0"/>
        <v>Fran Collado - Mariano</v>
      </c>
      <c r="F18" s="11">
        <v>70.5</v>
      </c>
      <c r="G18" s="11">
        <v>70.5</v>
      </c>
      <c r="H18" s="11">
        <f t="shared" si="1"/>
        <v>141</v>
      </c>
    </row>
    <row r="19" spans="1:8" x14ac:dyDescent="0.25">
      <c r="A19">
        <v>19</v>
      </c>
      <c r="B19" s="11">
        <v>3</v>
      </c>
      <c r="C19" s="11" t="s">
        <v>27</v>
      </c>
      <c r="D19" s="11" t="s">
        <v>89</v>
      </c>
      <c r="E19" s="17" t="str">
        <f t="shared" si="0"/>
        <v>Juanjo - Juan Carlos Illescas</v>
      </c>
      <c r="F19" s="11">
        <v>62</v>
      </c>
      <c r="G19" s="11">
        <v>33.25</v>
      </c>
      <c r="H19" s="11">
        <f t="shared" si="1"/>
        <v>95.25</v>
      </c>
    </row>
    <row r="20" spans="1:8" x14ac:dyDescent="0.25">
      <c r="A20">
        <v>20</v>
      </c>
      <c r="B20" s="11">
        <v>3</v>
      </c>
      <c r="C20" s="11" t="s">
        <v>87</v>
      </c>
      <c r="D20" s="11" t="s">
        <v>86</v>
      </c>
      <c r="E20" s="14" t="str">
        <f t="shared" si="0"/>
        <v>Vivi - Juan Sánchez Sr.</v>
      </c>
      <c r="F20" s="11">
        <v>68</v>
      </c>
      <c r="G20" s="11">
        <v>30.25</v>
      </c>
      <c r="H20" s="11">
        <f t="shared" si="1"/>
        <v>98.25</v>
      </c>
    </row>
    <row r="21" spans="1:8" x14ac:dyDescent="0.25">
      <c r="A21">
        <v>21</v>
      </c>
      <c r="B21" s="11">
        <v>3</v>
      </c>
      <c r="C21" t="s">
        <v>30</v>
      </c>
      <c r="D21" t="s">
        <v>91</v>
      </c>
      <c r="E21" s="2" t="str">
        <f t="shared" ref="E21:E24" si="2">_xlfn.CONCAT(C21," - ",D21)</f>
        <v>Jose Alberto Navarro - Paco Rama</v>
      </c>
      <c r="F21">
        <v>43.5</v>
      </c>
      <c r="G21">
        <v>43.5</v>
      </c>
      <c r="H21">
        <f t="shared" ref="H21:H24" si="3">SUM(F21,G21)</f>
        <v>87</v>
      </c>
    </row>
    <row r="22" spans="1:8" x14ac:dyDescent="0.25">
      <c r="A22">
        <v>22</v>
      </c>
      <c r="B22" s="11">
        <v>3</v>
      </c>
      <c r="C22" t="s">
        <v>32</v>
      </c>
      <c r="D22" t="s">
        <v>93</v>
      </c>
      <c r="E22" s="2" t="str">
        <f t="shared" si="2"/>
        <v>Adri Pérez Ibáñez - Antonio Girón</v>
      </c>
      <c r="F22">
        <v>56.25</v>
      </c>
      <c r="G22">
        <v>17.75</v>
      </c>
      <c r="H22">
        <f t="shared" si="3"/>
        <v>74</v>
      </c>
    </row>
    <row r="23" spans="1:8" x14ac:dyDescent="0.25">
      <c r="A23">
        <v>23</v>
      </c>
      <c r="B23" s="11">
        <v>3</v>
      </c>
      <c r="C23" t="s">
        <v>33</v>
      </c>
      <c r="D23" t="s">
        <v>94</v>
      </c>
      <c r="E23" s="2" t="str">
        <f t="shared" si="2"/>
        <v>Pablo Cano - Víctor Ocaña</v>
      </c>
      <c r="F23">
        <v>59.375</v>
      </c>
      <c r="G23">
        <v>34.375</v>
      </c>
      <c r="H23">
        <f t="shared" si="3"/>
        <v>93.75</v>
      </c>
    </row>
    <row r="24" spans="1:8" x14ac:dyDescent="0.25">
      <c r="A24">
        <v>24</v>
      </c>
      <c r="B24" s="11">
        <v>3</v>
      </c>
      <c r="C24" t="s">
        <v>34</v>
      </c>
      <c r="D24" t="s">
        <v>95</v>
      </c>
      <c r="E24" s="2" t="str">
        <f t="shared" si="2"/>
        <v>Juanji - Pedro Utrera</v>
      </c>
      <c r="F24">
        <v>45.875</v>
      </c>
      <c r="G24">
        <v>23.875</v>
      </c>
      <c r="H24">
        <f t="shared" si="3"/>
        <v>69.75</v>
      </c>
    </row>
    <row r="25" spans="1:8" x14ac:dyDescent="0.25">
      <c r="A25">
        <v>26</v>
      </c>
      <c r="B25">
        <v>3</v>
      </c>
      <c r="C25" t="s">
        <v>179</v>
      </c>
      <c r="D25" t="s">
        <v>180</v>
      </c>
      <c r="E25" s="9" t="str">
        <f t="shared" si="0"/>
        <v>David Bellido - Manuel Bellido</v>
      </c>
      <c r="F25">
        <v>0</v>
      </c>
      <c r="G25">
        <v>0</v>
      </c>
      <c r="H25">
        <f t="shared" si="1"/>
        <v>0</v>
      </c>
    </row>
    <row r="26" spans="1:8" x14ac:dyDescent="0.25">
      <c r="A26">
        <v>27</v>
      </c>
      <c r="B26">
        <v>4</v>
      </c>
      <c r="C26" t="s">
        <v>35</v>
      </c>
      <c r="D26" t="s">
        <v>96</v>
      </c>
      <c r="E26" s="2" t="str">
        <f t="shared" ref="E26:E39" si="4">_xlfn.CONCAT(C26," - ",D26)</f>
        <v>Salvita Jiménez - Sergio Garrote</v>
      </c>
      <c r="F26">
        <v>45.25</v>
      </c>
      <c r="G26">
        <v>28.25</v>
      </c>
      <c r="H26">
        <f t="shared" ref="H26:H39" si="5">SUM(F26,G26)</f>
        <v>73.5</v>
      </c>
    </row>
    <row r="27" spans="1:8" x14ac:dyDescent="0.25">
      <c r="A27">
        <v>28</v>
      </c>
      <c r="B27">
        <v>4</v>
      </c>
      <c r="C27" t="s">
        <v>36</v>
      </c>
      <c r="D27" t="s">
        <v>97</v>
      </c>
      <c r="E27" s="2" t="str">
        <f t="shared" si="4"/>
        <v>Pepe Conde - Ángel Torres</v>
      </c>
      <c r="F27">
        <v>42.75</v>
      </c>
      <c r="G27">
        <v>20.75</v>
      </c>
      <c r="H27">
        <f t="shared" si="5"/>
        <v>63.5</v>
      </c>
    </row>
    <row r="28" spans="1:8" x14ac:dyDescent="0.25">
      <c r="A28">
        <v>29</v>
      </c>
      <c r="B28">
        <v>4</v>
      </c>
      <c r="C28" t="s">
        <v>38</v>
      </c>
      <c r="D28" t="s">
        <v>99</v>
      </c>
      <c r="E28" s="2" t="str">
        <f t="shared" si="4"/>
        <v>Adrián Martínez - Jose David</v>
      </c>
      <c r="F28">
        <v>53.125</v>
      </c>
      <c r="G28">
        <v>23.625</v>
      </c>
      <c r="H28">
        <f t="shared" si="5"/>
        <v>76.75</v>
      </c>
    </row>
    <row r="29" spans="1:8" x14ac:dyDescent="0.25">
      <c r="A29">
        <v>30</v>
      </c>
      <c r="B29">
        <v>4</v>
      </c>
      <c r="C29" s="11" t="s">
        <v>19</v>
      </c>
      <c r="D29" s="11" t="s">
        <v>153</v>
      </c>
      <c r="E29" s="14" t="str">
        <f t="shared" si="4"/>
        <v>Raúl Garcia - Alvarito</v>
      </c>
      <c r="F29" s="11">
        <v>18</v>
      </c>
      <c r="G29" s="11">
        <v>58</v>
      </c>
      <c r="H29" s="12">
        <f t="shared" si="5"/>
        <v>76</v>
      </c>
    </row>
    <row r="30" spans="1:8" x14ac:dyDescent="0.25">
      <c r="A30">
        <v>31</v>
      </c>
      <c r="B30">
        <v>4</v>
      </c>
      <c r="C30" s="11" t="s">
        <v>129</v>
      </c>
      <c r="D30" s="11" t="s">
        <v>78</v>
      </c>
      <c r="E30" s="14" t="str">
        <f t="shared" si="4"/>
        <v>Adrian Camacho - David Hermosilla</v>
      </c>
      <c r="F30" s="11">
        <v>0</v>
      </c>
      <c r="G30" s="11">
        <v>66.625</v>
      </c>
      <c r="H30" s="12">
        <f t="shared" si="5"/>
        <v>66.625</v>
      </c>
    </row>
    <row r="31" spans="1:8" x14ac:dyDescent="0.25">
      <c r="A31">
        <v>32</v>
      </c>
      <c r="B31">
        <v>4</v>
      </c>
      <c r="C31" s="11" t="s">
        <v>28</v>
      </c>
      <c r="D31" s="11" t="s">
        <v>170</v>
      </c>
      <c r="E31" s="14" t="str">
        <f t="shared" si="4"/>
        <v>Juanele - Javi Granados</v>
      </c>
      <c r="F31" s="11">
        <v>59.5</v>
      </c>
      <c r="G31" s="11">
        <v>0</v>
      </c>
      <c r="H31" s="12">
        <f t="shared" si="5"/>
        <v>59.5</v>
      </c>
    </row>
    <row r="32" spans="1:8" x14ac:dyDescent="0.25">
      <c r="A32">
        <v>33</v>
      </c>
      <c r="B32">
        <v>4</v>
      </c>
      <c r="C32" t="s">
        <v>39</v>
      </c>
      <c r="D32" t="s">
        <v>100</v>
      </c>
      <c r="E32" s="2" t="str">
        <f t="shared" si="4"/>
        <v>Pedrito Almansa - Jose Alberto Agenjo</v>
      </c>
      <c r="F32">
        <v>57.75</v>
      </c>
      <c r="G32">
        <v>22.75</v>
      </c>
      <c r="H32">
        <f t="shared" si="5"/>
        <v>80.5</v>
      </c>
    </row>
    <row r="33" spans="1:8" x14ac:dyDescent="0.25">
      <c r="A33">
        <v>34</v>
      </c>
      <c r="B33">
        <v>4</v>
      </c>
      <c r="C33" t="s">
        <v>40</v>
      </c>
      <c r="D33" t="s">
        <v>101</v>
      </c>
      <c r="E33" s="2" t="str">
        <f t="shared" si="4"/>
        <v>Manu Morata - Joel Aguilera</v>
      </c>
      <c r="F33">
        <v>41.125</v>
      </c>
      <c r="G33">
        <v>17.625</v>
      </c>
      <c r="H33">
        <f t="shared" si="5"/>
        <v>58.75</v>
      </c>
    </row>
    <row r="34" spans="1:8" x14ac:dyDescent="0.25">
      <c r="A34">
        <v>35</v>
      </c>
      <c r="B34">
        <v>5</v>
      </c>
      <c r="C34" t="s">
        <v>41</v>
      </c>
      <c r="D34" t="s">
        <v>102</v>
      </c>
      <c r="E34" s="2" t="str">
        <f t="shared" si="4"/>
        <v>Antonio Ballesteros - Luismi</v>
      </c>
      <c r="F34">
        <v>39.75</v>
      </c>
      <c r="G34">
        <v>39.75</v>
      </c>
      <c r="H34">
        <f t="shared" si="5"/>
        <v>79.5</v>
      </c>
    </row>
    <row r="35" spans="1:8" x14ac:dyDescent="0.25">
      <c r="A35">
        <v>36</v>
      </c>
      <c r="B35">
        <v>5</v>
      </c>
      <c r="C35" t="s">
        <v>42</v>
      </c>
      <c r="D35" t="s">
        <v>103</v>
      </c>
      <c r="E35" s="2" t="str">
        <f t="shared" si="4"/>
        <v>Jose Galvez - Alberto López</v>
      </c>
      <c r="F35">
        <v>35.25</v>
      </c>
      <c r="G35">
        <v>15.5</v>
      </c>
      <c r="H35">
        <f t="shared" si="5"/>
        <v>50.75</v>
      </c>
    </row>
    <row r="36" spans="1:8" x14ac:dyDescent="0.25">
      <c r="A36">
        <v>37</v>
      </c>
      <c r="B36">
        <v>5</v>
      </c>
      <c r="C36" t="s">
        <v>43</v>
      </c>
      <c r="D36" t="s">
        <v>104</v>
      </c>
      <c r="E36" s="2" t="str">
        <f t="shared" si="4"/>
        <v>Rafael Castro - Francisco Reca</v>
      </c>
      <c r="F36">
        <v>30.125</v>
      </c>
      <c r="G36">
        <v>30.125</v>
      </c>
      <c r="H36">
        <f t="shared" si="5"/>
        <v>60.25</v>
      </c>
    </row>
    <row r="37" spans="1:8" x14ac:dyDescent="0.25">
      <c r="A37">
        <v>38</v>
      </c>
      <c r="B37">
        <v>5</v>
      </c>
      <c r="C37" t="s">
        <v>45</v>
      </c>
      <c r="D37" t="s">
        <v>106</v>
      </c>
      <c r="E37" s="2" t="str">
        <f t="shared" si="4"/>
        <v>Ramón Ruiz - Gabriel Gálvez</v>
      </c>
      <c r="F37">
        <v>42.875</v>
      </c>
      <c r="G37">
        <v>31.875</v>
      </c>
      <c r="H37">
        <f t="shared" si="5"/>
        <v>74.75</v>
      </c>
    </row>
    <row r="38" spans="1:8" x14ac:dyDescent="0.25">
      <c r="A38">
        <v>39</v>
      </c>
      <c r="B38">
        <v>5</v>
      </c>
      <c r="C38" t="s">
        <v>46</v>
      </c>
      <c r="D38" t="s">
        <v>107</v>
      </c>
      <c r="E38" s="2" t="str">
        <f t="shared" si="4"/>
        <v>Alejandro Ferro - Juan Ferro</v>
      </c>
      <c r="F38">
        <v>29.875</v>
      </c>
      <c r="G38">
        <v>29.875</v>
      </c>
      <c r="H38">
        <f t="shared" si="5"/>
        <v>59.75</v>
      </c>
    </row>
    <row r="39" spans="1:8" x14ac:dyDescent="0.25">
      <c r="A39">
        <v>40</v>
      </c>
      <c r="B39">
        <v>5</v>
      </c>
      <c r="C39" t="s">
        <v>47</v>
      </c>
      <c r="D39" t="s">
        <v>108</v>
      </c>
      <c r="E39" s="2" t="str">
        <f t="shared" si="4"/>
        <v>Alberto Lomas - Juan Carlos Mesa</v>
      </c>
      <c r="F39">
        <v>34.125</v>
      </c>
      <c r="G39">
        <v>18.125</v>
      </c>
      <c r="H39">
        <f t="shared" si="5"/>
        <v>52.25</v>
      </c>
    </row>
    <row r="40" spans="1:8" x14ac:dyDescent="0.25">
      <c r="A40">
        <v>41</v>
      </c>
      <c r="B40">
        <v>5</v>
      </c>
      <c r="C40" t="s">
        <v>48</v>
      </c>
      <c r="D40" t="s">
        <v>25</v>
      </c>
      <c r="E40" s="2" t="str">
        <f t="shared" ref="E40:E65" si="6">_xlfn.CONCAT(C40," - ",D40)</f>
        <v>Vanesa Platero - Luis Mena</v>
      </c>
      <c r="F40">
        <v>28.375</v>
      </c>
      <c r="G40">
        <v>28.375</v>
      </c>
      <c r="H40">
        <f t="shared" ref="H40:H65" si="7">SUM(F40,G40)</f>
        <v>56.75</v>
      </c>
    </row>
    <row r="41" spans="1:8" x14ac:dyDescent="0.25">
      <c r="A41">
        <v>42</v>
      </c>
      <c r="B41">
        <v>5</v>
      </c>
      <c r="C41" t="s">
        <v>49</v>
      </c>
      <c r="D41" t="s">
        <v>109</v>
      </c>
      <c r="E41" s="2" t="str">
        <f t="shared" si="6"/>
        <v>José Manuel Jurado - Ángel Jurado</v>
      </c>
      <c r="F41">
        <v>25.75</v>
      </c>
      <c r="G41">
        <v>25.75</v>
      </c>
      <c r="H41">
        <f t="shared" si="7"/>
        <v>51.5</v>
      </c>
    </row>
    <row r="42" spans="1:8" x14ac:dyDescent="0.25">
      <c r="A42">
        <v>43</v>
      </c>
      <c r="B42">
        <v>6</v>
      </c>
      <c r="C42" t="s">
        <v>50</v>
      </c>
      <c r="D42" t="s">
        <v>110</v>
      </c>
      <c r="E42" s="2" t="str">
        <f t="shared" ref="E42:E48" si="8">_xlfn.CONCAT(C42," - ",D42)</f>
        <v>Javier Morón - Manuel Ruiz</v>
      </c>
      <c r="F42">
        <v>28.25</v>
      </c>
      <c r="G42">
        <v>28.25</v>
      </c>
      <c r="H42">
        <f t="shared" ref="H42:H48" si="9">SUM(F42,G42)</f>
        <v>56.5</v>
      </c>
    </row>
    <row r="43" spans="1:8" x14ac:dyDescent="0.25">
      <c r="A43">
        <v>44</v>
      </c>
      <c r="B43">
        <v>6</v>
      </c>
      <c r="C43" t="s">
        <v>51</v>
      </c>
      <c r="D43" t="s">
        <v>111</v>
      </c>
      <c r="E43" s="2" t="str">
        <f t="shared" si="8"/>
        <v>Anselmo Martínez - Javi Porras</v>
      </c>
      <c r="F43">
        <v>18.5</v>
      </c>
      <c r="G43">
        <v>18.5</v>
      </c>
      <c r="H43">
        <f t="shared" si="9"/>
        <v>37</v>
      </c>
    </row>
    <row r="44" spans="1:8" x14ac:dyDescent="0.25">
      <c r="A44">
        <v>45</v>
      </c>
      <c r="B44">
        <v>6</v>
      </c>
      <c r="C44" t="s">
        <v>52</v>
      </c>
      <c r="D44" t="s">
        <v>112</v>
      </c>
      <c r="E44" s="2" t="str">
        <f t="shared" si="8"/>
        <v>José Antonio Sequera - Antonio Luis Peña</v>
      </c>
      <c r="F44">
        <v>26.125</v>
      </c>
      <c r="G44">
        <v>26.125</v>
      </c>
      <c r="H44">
        <f t="shared" si="9"/>
        <v>52.25</v>
      </c>
    </row>
    <row r="45" spans="1:8" x14ac:dyDescent="0.25">
      <c r="A45">
        <v>46</v>
      </c>
      <c r="B45">
        <v>6</v>
      </c>
      <c r="C45" t="s">
        <v>53</v>
      </c>
      <c r="D45" t="s">
        <v>113</v>
      </c>
      <c r="E45" s="2" t="str">
        <f t="shared" si="8"/>
        <v>Pablo Ruiz - Juan Manuel Lloris</v>
      </c>
      <c r="F45">
        <v>15.25</v>
      </c>
      <c r="G45">
        <v>15.25</v>
      </c>
      <c r="H45">
        <f t="shared" si="9"/>
        <v>30.5</v>
      </c>
    </row>
    <row r="46" spans="1:8" x14ac:dyDescent="0.25">
      <c r="A46">
        <v>47</v>
      </c>
      <c r="B46">
        <v>6</v>
      </c>
      <c r="C46" t="s">
        <v>54</v>
      </c>
      <c r="D46" t="s">
        <v>114</v>
      </c>
      <c r="E46" s="2" t="str">
        <f t="shared" si="8"/>
        <v>Manolo Toribio - Raquel Fernández</v>
      </c>
      <c r="F46">
        <v>24.625</v>
      </c>
      <c r="G46">
        <v>24.625</v>
      </c>
      <c r="H46">
        <f t="shared" si="9"/>
        <v>49.25</v>
      </c>
    </row>
    <row r="47" spans="1:8" x14ac:dyDescent="0.25">
      <c r="A47">
        <v>48</v>
      </c>
      <c r="B47">
        <v>6</v>
      </c>
      <c r="C47" s="11" t="s">
        <v>172</v>
      </c>
      <c r="D47" s="11" t="s">
        <v>122</v>
      </c>
      <c r="E47" s="14" t="str">
        <f t="shared" si="8"/>
        <v>Manuel Moreno - Álvaro López Garcia</v>
      </c>
      <c r="F47" s="11">
        <v>29</v>
      </c>
      <c r="G47" s="11">
        <v>6.125</v>
      </c>
      <c r="H47" s="12">
        <f t="shared" si="9"/>
        <v>35.125</v>
      </c>
    </row>
    <row r="48" spans="1:8" x14ac:dyDescent="0.25">
      <c r="A48">
        <v>49</v>
      </c>
      <c r="B48">
        <v>6</v>
      </c>
      <c r="C48" s="11" t="s">
        <v>171</v>
      </c>
      <c r="D48" s="11" t="s">
        <v>92</v>
      </c>
      <c r="E48" s="14" t="str">
        <f t="shared" si="8"/>
        <v>Emilio Briones Jr - Emilio Briones</v>
      </c>
      <c r="F48" s="11">
        <v>0</v>
      </c>
      <c r="G48" s="11">
        <v>20.875</v>
      </c>
      <c r="H48" s="12">
        <f t="shared" si="9"/>
        <v>20.875</v>
      </c>
    </row>
    <row r="49" spans="1:8" x14ac:dyDescent="0.25">
      <c r="A49">
        <v>50</v>
      </c>
      <c r="B49">
        <v>6</v>
      </c>
      <c r="C49" t="s">
        <v>55</v>
      </c>
      <c r="D49" t="s">
        <v>115</v>
      </c>
      <c r="E49" t="str">
        <f t="shared" si="6"/>
        <v>Manuel Cruz - Javi Barrios</v>
      </c>
      <c r="F49">
        <v>17.25</v>
      </c>
      <c r="G49">
        <v>5.75</v>
      </c>
      <c r="H49">
        <f t="shared" si="7"/>
        <v>23</v>
      </c>
    </row>
    <row r="50" spans="1:8" x14ac:dyDescent="0.25">
      <c r="A50">
        <v>51</v>
      </c>
      <c r="B50">
        <v>7</v>
      </c>
      <c r="C50" t="s">
        <v>56</v>
      </c>
      <c r="D50" t="s">
        <v>116</v>
      </c>
      <c r="E50" t="str">
        <f t="shared" si="6"/>
        <v>Luis Medina - Ray Jiménez</v>
      </c>
      <c r="F50">
        <v>22.375</v>
      </c>
      <c r="G50">
        <v>17.875</v>
      </c>
      <c r="H50">
        <f t="shared" si="7"/>
        <v>40.25</v>
      </c>
    </row>
    <row r="51" spans="1:8" x14ac:dyDescent="0.25">
      <c r="A51">
        <v>52</v>
      </c>
      <c r="B51">
        <v>7</v>
      </c>
      <c r="C51" t="s">
        <v>57</v>
      </c>
      <c r="D51" t="s">
        <v>117</v>
      </c>
      <c r="E51" s="2" t="str">
        <f t="shared" si="6"/>
        <v>Jesús Serra - Sergio Serra</v>
      </c>
      <c r="F51">
        <v>22.5</v>
      </c>
      <c r="G51">
        <v>9</v>
      </c>
      <c r="H51">
        <f t="shared" si="7"/>
        <v>31.5</v>
      </c>
    </row>
    <row r="52" spans="1:8" x14ac:dyDescent="0.25">
      <c r="A52">
        <v>53</v>
      </c>
      <c r="B52">
        <v>7</v>
      </c>
      <c r="C52" t="s">
        <v>58</v>
      </c>
      <c r="D52" t="s">
        <v>118</v>
      </c>
      <c r="E52" s="2" t="str">
        <f t="shared" si="6"/>
        <v>Jose Manuel Ibañez - Ángel Villar</v>
      </c>
      <c r="F52">
        <v>12.5</v>
      </c>
      <c r="G52">
        <v>12.5</v>
      </c>
      <c r="H52">
        <f t="shared" si="7"/>
        <v>25</v>
      </c>
    </row>
    <row r="53" spans="1:8" x14ac:dyDescent="0.25">
      <c r="A53">
        <v>54</v>
      </c>
      <c r="B53">
        <v>7</v>
      </c>
      <c r="C53" t="s">
        <v>59</v>
      </c>
      <c r="D53" t="s">
        <v>119</v>
      </c>
      <c r="E53" s="2" t="str">
        <f t="shared" si="6"/>
        <v>Ángel Chinchilla - Javier Escribano</v>
      </c>
      <c r="F53">
        <v>12.75</v>
      </c>
      <c r="G53">
        <v>5.25</v>
      </c>
      <c r="H53">
        <f t="shared" si="7"/>
        <v>18</v>
      </c>
    </row>
    <row r="54" spans="1:8" x14ac:dyDescent="0.25">
      <c r="A54">
        <v>55</v>
      </c>
      <c r="B54">
        <v>7</v>
      </c>
      <c r="C54" t="s">
        <v>60</v>
      </c>
      <c r="D54" t="s">
        <v>120</v>
      </c>
      <c r="E54" s="2" t="str">
        <f t="shared" si="6"/>
        <v>Alberto Serrano - Jaime Baltanas</v>
      </c>
      <c r="F54">
        <v>15.75</v>
      </c>
      <c r="G54">
        <v>15.75</v>
      </c>
      <c r="H54">
        <f t="shared" si="7"/>
        <v>31.5</v>
      </c>
    </row>
    <row r="55" spans="1:8" x14ac:dyDescent="0.25">
      <c r="A55">
        <v>56</v>
      </c>
      <c r="B55">
        <v>7</v>
      </c>
      <c r="C55" t="s">
        <v>61</v>
      </c>
      <c r="D55" t="s">
        <v>121</v>
      </c>
      <c r="E55" t="str">
        <f t="shared" si="6"/>
        <v>Paco Hermosilla - Manolo Juárez</v>
      </c>
      <c r="F55">
        <v>12.125</v>
      </c>
      <c r="G55">
        <v>12.125</v>
      </c>
      <c r="H55">
        <f t="shared" si="7"/>
        <v>24.25</v>
      </c>
    </row>
    <row r="56" spans="1:8" x14ac:dyDescent="0.25">
      <c r="A56">
        <v>57</v>
      </c>
      <c r="B56">
        <v>7</v>
      </c>
      <c r="C56" t="s">
        <v>29</v>
      </c>
      <c r="D56" t="s">
        <v>123</v>
      </c>
      <c r="E56" s="2" t="str">
        <f t="shared" si="6"/>
        <v>Sergio Campoy - Isa Monsalve</v>
      </c>
      <c r="F56">
        <v>7.5</v>
      </c>
      <c r="G56">
        <v>18.125</v>
      </c>
      <c r="H56">
        <f t="shared" si="7"/>
        <v>25.625</v>
      </c>
    </row>
    <row r="57" spans="1:8" x14ac:dyDescent="0.25">
      <c r="A57">
        <v>58</v>
      </c>
      <c r="B57">
        <v>7</v>
      </c>
      <c r="C57" t="s">
        <v>40</v>
      </c>
      <c r="D57" t="s">
        <v>125</v>
      </c>
      <c r="E57" s="2" t="str">
        <f t="shared" si="6"/>
        <v>Manu Morata - Maria del Mar Morata</v>
      </c>
      <c r="F57">
        <v>17.125</v>
      </c>
      <c r="G57">
        <v>17.125</v>
      </c>
      <c r="H57">
        <f t="shared" si="7"/>
        <v>34.25</v>
      </c>
    </row>
    <row r="58" spans="1:8" x14ac:dyDescent="0.25">
      <c r="A58">
        <v>59</v>
      </c>
      <c r="B58">
        <v>8</v>
      </c>
      <c r="C58" t="s">
        <v>63</v>
      </c>
      <c r="D58" t="s">
        <v>126</v>
      </c>
      <c r="E58" s="2" t="str">
        <f t="shared" si="6"/>
        <v>Jose Carlos Jiménez - Alejandro Jiménez</v>
      </c>
      <c r="F58">
        <v>8.75</v>
      </c>
      <c r="G58">
        <v>8.75</v>
      </c>
      <c r="H58">
        <f t="shared" si="7"/>
        <v>17.5</v>
      </c>
    </row>
    <row r="59" spans="1:8" x14ac:dyDescent="0.25">
      <c r="A59">
        <v>60</v>
      </c>
      <c r="B59">
        <v>8</v>
      </c>
      <c r="C59" s="11" t="s">
        <v>173</v>
      </c>
      <c r="D59" s="11" t="s">
        <v>124</v>
      </c>
      <c r="E59" s="9" t="str">
        <f t="shared" si="6"/>
        <v>Agenjo - Estefanía</v>
      </c>
      <c r="F59" s="11">
        <v>0</v>
      </c>
      <c r="G59" s="11">
        <v>1.25</v>
      </c>
      <c r="H59">
        <f t="shared" si="7"/>
        <v>1.25</v>
      </c>
    </row>
    <row r="60" spans="1:8" x14ac:dyDescent="0.25">
      <c r="A60">
        <v>61</v>
      </c>
      <c r="B60">
        <v>8</v>
      </c>
      <c r="C60" t="s">
        <v>64</v>
      </c>
      <c r="D60" t="s">
        <v>127</v>
      </c>
      <c r="E60" s="2" t="str">
        <f t="shared" si="6"/>
        <v>Vanessa Platero - Rocío Muñoz</v>
      </c>
      <c r="F60">
        <v>7.5</v>
      </c>
      <c r="G60">
        <v>7.5</v>
      </c>
      <c r="H60">
        <f t="shared" si="7"/>
        <v>15</v>
      </c>
    </row>
    <row r="61" spans="1:8" x14ac:dyDescent="0.25">
      <c r="A61">
        <v>62</v>
      </c>
      <c r="B61">
        <v>8</v>
      </c>
      <c r="C61" t="s">
        <v>65</v>
      </c>
      <c r="D61" t="s">
        <v>66</v>
      </c>
      <c r="E61" s="2" t="str">
        <f t="shared" si="6"/>
        <v>Álvaro Cazorla - Rosa López</v>
      </c>
      <c r="F61">
        <v>11</v>
      </c>
      <c r="G61">
        <v>11</v>
      </c>
      <c r="H61">
        <f t="shared" si="7"/>
        <v>22</v>
      </c>
    </row>
    <row r="62" spans="1:8" x14ac:dyDescent="0.25">
      <c r="A62">
        <v>63</v>
      </c>
      <c r="B62">
        <v>8</v>
      </c>
      <c r="C62" t="s">
        <v>30</v>
      </c>
      <c r="D62" t="s">
        <v>128</v>
      </c>
      <c r="E62" s="2" t="str">
        <f t="shared" si="6"/>
        <v>Jose Alberto Navarro - Sandra Rodríguez</v>
      </c>
      <c r="F62">
        <v>8.875</v>
      </c>
      <c r="G62">
        <v>7.625</v>
      </c>
      <c r="H62">
        <f t="shared" si="7"/>
        <v>16.5</v>
      </c>
    </row>
    <row r="63" spans="1:8" ht="15.75" thickBot="1" x14ac:dyDescent="0.3">
      <c r="A63">
        <v>64</v>
      </c>
      <c r="B63">
        <v>8</v>
      </c>
      <c r="C63" t="s">
        <v>66</v>
      </c>
      <c r="D63" t="s">
        <v>123</v>
      </c>
      <c r="E63" s="2" t="str">
        <f t="shared" si="6"/>
        <v>Rosa López - Isa Monsalve</v>
      </c>
      <c r="F63">
        <v>11.125</v>
      </c>
      <c r="G63">
        <v>14.875</v>
      </c>
      <c r="H63">
        <f t="shared" si="7"/>
        <v>26</v>
      </c>
    </row>
    <row r="64" spans="1:8" ht="15.75" thickBot="1" x14ac:dyDescent="0.3">
      <c r="A64">
        <v>65</v>
      </c>
      <c r="B64">
        <v>8</v>
      </c>
      <c r="C64" s="18" t="s">
        <v>181</v>
      </c>
      <c r="D64" s="19" t="s">
        <v>182</v>
      </c>
      <c r="E64" s="2" t="str">
        <f>_xlfn.CONCAT(C64," - ",D64)</f>
        <v>Laura - Mari Angeles</v>
      </c>
      <c r="F64">
        <v>0</v>
      </c>
      <c r="G64">
        <v>0</v>
      </c>
      <c r="H64">
        <f t="shared" si="7"/>
        <v>0</v>
      </c>
    </row>
    <row r="65" spans="1:8" x14ac:dyDescent="0.25">
      <c r="A65">
        <v>66</v>
      </c>
      <c r="B65">
        <v>8</v>
      </c>
      <c r="C65" s="13" t="s">
        <v>174</v>
      </c>
      <c r="D65" s="13" t="s">
        <v>175</v>
      </c>
      <c r="E65" s="9" t="str">
        <f t="shared" ref="E65" si="10">_xlfn.CONCAT(C65," - ",D65)</f>
        <v>Antonio Jesús Martos - Fran Otto</v>
      </c>
      <c r="F65">
        <v>0</v>
      </c>
      <c r="G65">
        <v>0</v>
      </c>
      <c r="H65">
        <f t="shared" ref="H65" si="11">SUM(F65,G65)</f>
        <v>0</v>
      </c>
    </row>
    <row r="66" spans="1:8" x14ac:dyDescent="0.25">
      <c r="A66">
        <v>67</v>
      </c>
      <c r="B66">
        <v>9</v>
      </c>
      <c r="C66" t="s">
        <v>183</v>
      </c>
      <c r="D66" t="s">
        <v>184</v>
      </c>
      <c r="E66" s="11" t="str">
        <f t="shared" ref="E66:E70" si="12">_xlfn.CONCAT(C66," - ",D66)</f>
        <v>Miguel Angel Arenas - Rafa Robles</v>
      </c>
      <c r="F66">
        <v>0</v>
      </c>
      <c r="G66">
        <v>0</v>
      </c>
      <c r="H66">
        <f t="shared" ref="H66:H70" si="13">SUM(F66,G66)</f>
        <v>0</v>
      </c>
    </row>
    <row r="67" spans="1:8" x14ac:dyDescent="0.25">
      <c r="A67">
        <v>68</v>
      </c>
      <c r="B67">
        <v>9</v>
      </c>
      <c r="E67" s="11" t="str">
        <f t="shared" si="12"/>
        <v xml:space="preserve"> - </v>
      </c>
      <c r="H67">
        <f t="shared" si="13"/>
        <v>0</v>
      </c>
    </row>
    <row r="68" spans="1:8" x14ac:dyDescent="0.25">
      <c r="A68">
        <v>69</v>
      </c>
      <c r="B68">
        <v>9</v>
      </c>
      <c r="E68" s="11" t="str">
        <f t="shared" si="12"/>
        <v xml:space="preserve"> - </v>
      </c>
      <c r="H68">
        <f t="shared" si="13"/>
        <v>0</v>
      </c>
    </row>
    <row r="69" spans="1:8" x14ac:dyDescent="0.25">
      <c r="A69">
        <v>70</v>
      </c>
      <c r="B69">
        <v>9</v>
      </c>
      <c r="E69" s="11" t="str">
        <f t="shared" si="12"/>
        <v xml:space="preserve"> - </v>
      </c>
      <c r="H69">
        <f t="shared" si="13"/>
        <v>0</v>
      </c>
    </row>
    <row r="70" spans="1:8" x14ac:dyDescent="0.25">
      <c r="A70">
        <v>71</v>
      </c>
      <c r="C70" s="13"/>
      <c r="D70" s="13"/>
      <c r="E70" s="11" t="str">
        <f t="shared" si="12"/>
        <v xml:space="preserve"> - </v>
      </c>
      <c r="H70">
        <f t="shared" si="13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8F4E-8706-48E9-AF90-694AB4BD18C7}">
  <dimension ref="A1:C38"/>
  <sheetViews>
    <sheetView topLeftCell="A11" workbookViewId="0">
      <selection activeCell="A39" sqref="A39"/>
    </sheetView>
  </sheetViews>
  <sheetFormatPr defaultRowHeight="15" x14ac:dyDescent="0.25"/>
  <cols>
    <col min="1" max="1" width="28.140625" bestFit="1" customWidth="1"/>
    <col min="3" max="3" width="12.140625" bestFit="1" customWidth="1"/>
  </cols>
  <sheetData>
    <row r="1" spans="1:3" ht="22.5" thickBot="1" x14ac:dyDescent="0.3">
      <c r="A1" s="3" t="s">
        <v>130</v>
      </c>
      <c r="B1" s="4"/>
      <c r="C1" s="4"/>
    </row>
    <row r="2" spans="1:3" ht="17.25" thickBot="1" x14ac:dyDescent="0.3">
      <c r="A2" s="5" t="s">
        <v>131</v>
      </c>
      <c r="B2" s="5" t="s">
        <v>132</v>
      </c>
      <c r="C2" s="5" t="s">
        <v>133</v>
      </c>
    </row>
    <row r="3" spans="1:3" ht="15.75" thickBot="1" x14ac:dyDescent="0.3">
      <c r="A3" s="4" t="s">
        <v>134</v>
      </c>
      <c r="B3" s="6" t="s">
        <v>135</v>
      </c>
      <c r="C3" s="4"/>
    </row>
    <row r="4" spans="1:3" ht="15.75" thickBot="1" x14ac:dyDescent="0.3">
      <c r="A4" s="4" t="s">
        <v>136</v>
      </c>
      <c r="B4" s="6" t="s">
        <v>137</v>
      </c>
      <c r="C4" s="4"/>
    </row>
    <row r="5" spans="1:3" ht="15.75" thickBot="1" x14ac:dyDescent="0.3">
      <c r="A5" s="4" t="s">
        <v>138</v>
      </c>
      <c r="B5" s="6">
        <v>27</v>
      </c>
      <c r="C5" s="4" t="s">
        <v>139</v>
      </c>
    </row>
    <row r="6" spans="1:3" ht="15.75" thickBot="1" x14ac:dyDescent="0.3">
      <c r="A6" s="4" t="s">
        <v>140</v>
      </c>
      <c r="B6" s="6" t="s">
        <v>141</v>
      </c>
      <c r="C6" s="4" t="s">
        <v>139</v>
      </c>
    </row>
    <row r="7" spans="1:3" ht="15.75" thickBot="1" x14ac:dyDescent="0.3">
      <c r="A7" s="4" t="s">
        <v>142</v>
      </c>
      <c r="B7" s="6" t="s">
        <v>143</v>
      </c>
      <c r="C7" s="4" t="s">
        <v>144</v>
      </c>
    </row>
    <row r="8" spans="1:3" ht="15.75" thickBot="1" x14ac:dyDescent="0.3">
      <c r="A8" s="4" t="s">
        <v>145</v>
      </c>
      <c r="B8" s="6" t="s">
        <v>143</v>
      </c>
      <c r="C8" s="4" t="s">
        <v>144</v>
      </c>
    </row>
    <row r="9" spans="1:3" ht="15.75" thickBot="1" x14ac:dyDescent="0.3">
      <c r="A9" s="4" t="s">
        <v>146</v>
      </c>
      <c r="B9" s="6" t="s">
        <v>147</v>
      </c>
      <c r="C9" s="4" t="s">
        <v>148</v>
      </c>
    </row>
    <row r="10" spans="1:3" ht="15.75" thickBot="1" x14ac:dyDescent="0.3">
      <c r="A10" s="4" t="s">
        <v>68</v>
      </c>
      <c r="B10" s="6" t="s">
        <v>149</v>
      </c>
      <c r="C10" s="4" t="s">
        <v>148</v>
      </c>
    </row>
    <row r="11" spans="1:3" ht="15.75" thickBot="1" x14ac:dyDescent="0.3">
      <c r="A11" s="4" t="s">
        <v>65</v>
      </c>
      <c r="B11" s="6">
        <v>55</v>
      </c>
      <c r="C11" s="4" t="s">
        <v>150</v>
      </c>
    </row>
    <row r="12" spans="1:3" ht="15.75" thickBot="1" x14ac:dyDescent="0.3">
      <c r="A12" s="4" t="s">
        <v>29</v>
      </c>
      <c r="B12" s="6">
        <v>69</v>
      </c>
      <c r="C12" s="4" t="s">
        <v>150</v>
      </c>
    </row>
    <row r="13" spans="1:3" ht="15.75" thickBot="1" x14ac:dyDescent="0.3">
      <c r="A13" s="4" t="s">
        <v>103</v>
      </c>
      <c r="B13" s="7">
        <v>3875</v>
      </c>
      <c r="C13" s="4" t="s">
        <v>151</v>
      </c>
    </row>
    <row r="14" spans="1:3" ht="15.75" thickBot="1" x14ac:dyDescent="0.3">
      <c r="A14" s="4" t="s">
        <v>152</v>
      </c>
      <c r="B14" s="7">
        <v>3875</v>
      </c>
      <c r="C14" s="4" t="s">
        <v>151</v>
      </c>
    </row>
    <row r="15" spans="1:3" ht="15.75" thickBot="1" x14ac:dyDescent="0.3">
      <c r="A15" s="4" t="s">
        <v>153</v>
      </c>
      <c r="B15" s="6">
        <v>58</v>
      </c>
      <c r="C15" s="4" t="s">
        <v>154</v>
      </c>
    </row>
    <row r="16" spans="1:3" ht="15.75" thickBot="1" x14ac:dyDescent="0.3">
      <c r="A16" s="4" t="s">
        <v>155</v>
      </c>
      <c r="B16" s="6">
        <v>68</v>
      </c>
      <c r="C16" s="4" t="s">
        <v>154</v>
      </c>
    </row>
    <row r="17" spans="1:3" ht="15.75" thickBot="1" x14ac:dyDescent="0.3">
      <c r="A17" s="4" t="s">
        <v>156</v>
      </c>
      <c r="B17" s="6" t="s">
        <v>157</v>
      </c>
      <c r="C17" s="4" t="s">
        <v>158</v>
      </c>
    </row>
    <row r="18" spans="1:3" ht="15.75" thickBot="1" x14ac:dyDescent="0.3">
      <c r="A18" s="4" t="s">
        <v>159</v>
      </c>
      <c r="B18" s="6" t="s">
        <v>157</v>
      </c>
      <c r="C18" s="4" t="s">
        <v>158</v>
      </c>
    </row>
    <row r="19" spans="1:3" ht="15.75" thickBot="1" x14ac:dyDescent="0.3">
      <c r="A19" s="4" t="s">
        <v>160</v>
      </c>
      <c r="B19" s="6" t="s">
        <v>161</v>
      </c>
      <c r="C19" s="4" t="s">
        <v>162</v>
      </c>
    </row>
    <row r="20" spans="1:3" ht="15.75" thickBot="1" x14ac:dyDescent="0.3">
      <c r="A20" s="4" t="s">
        <v>163</v>
      </c>
      <c r="B20" s="7">
        <v>80625</v>
      </c>
      <c r="C20" s="4" t="s">
        <v>164</v>
      </c>
    </row>
    <row r="21" spans="1:3" ht="15.75" thickBot="1" x14ac:dyDescent="0.3">
      <c r="A21" s="4" t="s">
        <v>165</v>
      </c>
      <c r="B21" s="6">
        <v>17</v>
      </c>
      <c r="C21" s="4" t="s">
        <v>166</v>
      </c>
    </row>
    <row r="22" spans="1:3" ht="15.75" thickBot="1" x14ac:dyDescent="0.3">
      <c r="A22" s="4" t="s">
        <v>167</v>
      </c>
      <c r="B22" s="6">
        <v>17</v>
      </c>
      <c r="C22" s="4" t="s">
        <v>166</v>
      </c>
    </row>
    <row r="23" spans="1:3" ht="15.75" thickBot="1" x14ac:dyDescent="0.3">
      <c r="A23" s="4" t="s">
        <v>168</v>
      </c>
      <c r="B23" s="7">
        <v>19375</v>
      </c>
      <c r="C23" s="4" t="s">
        <v>139</v>
      </c>
    </row>
    <row r="24" spans="1:3" ht="15.75" thickBot="1" x14ac:dyDescent="0.3">
      <c r="A24" s="4" t="s">
        <v>169</v>
      </c>
      <c r="B24" s="7">
        <v>39875</v>
      </c>
      <c r="C24" s="4" t="s">
        <v>139</v>
      </c>
    </row>
    <row r="25" spans="1:3" x14ac:dyDescent="0.25">
      <c r="A25" s="8" t="s">
        <v>77</v>
      </c>
      <c r="B25">
        <v>38.25</v>
      </c>
    </row>
    <row r="26" spans="1:3" x14ac:dyDescent="0.25">
      <c r="A26" t="s">
        <v>85</v>
      </c>
      <c r="B26">
        <v>58.5</v>
      </c>
    </row>
    <row r="27" spans="1:3" x14ac:dyDescent="0.25">
      <c r="A27" t="s">
        <v>24</v>
      </c>
      <c r="B27">
        <v>68.75</v>
      </c>
    </row>
    <row r="28" spans="1:3" x14ac:dyDescent="0.25">
      <c r="A28" t="s">
        <v>62</v>
      </c>
      <c r="B28">
        <v>6.125</v>
      </c>
    </row>
    <row r="29" spans="1:3" x14ac:dyDescent="0.25">
      <c r="A29" t="s">
        <v>44</v>
      </c>
      <c r="B29">
        <v>32</v>
      </c>
    </row>
    <row r="30" spans="1:3" x14ac:dyDescent="0.25">
      <c r="A30" t="s">
        <v>105</v>
      </c>
      <c r="B30">
        <v>34.5</v>
      </c>
    </row>
    <row r="31" spans="1:3" x14ac:dyDescent="0.25">
      <c r="A31" s="11" t="s">
        <v>82</v>
      </c>
      <c r="B31" s="11">
        <v>40.875</v>
      </c>
    </row>
    <row r="32" spans="1:3" x14ac:dyDescent="0.25">
      <c r="A32" t="s">
        <v>178</v>
      </c>
      <c r="B32">
        <v>19.5</v>
      </c>
    </row>
    <row r="33" spans="1:2" x14ac:dyDescent="0.25">
      <c r="A33" s="11" t="s">
        <v>80</v>
      </c>
      <c r="B33">
        <v>40.75</v>
      </c>
    </row>
    <row r="34" spans="1:2" x14ac:dyDescent="0.25">
      <c r="A34" s="11" t="s">
        <v>70</v>
      </c>
      <c r="B34">
        <v>82.25</v>
      </c>
    </row>
    <row r="35" spans="1:2" x14ac:dyDescent="0.25">
      <c r="A35" s="11" t="s">
        <v>37</v>
      </c>
      <c r="B35">
        <v>53</v>
      </c>
    </row>
    <row r="36" spans="1:2" x14ac:dyDescent="0.25">
      <c r="A36" t="s">
        <v>98</v>
      </c>
      <c r="B36">
        <v>53</v>
      </c>
    </row>
    <row r="37" spans="1:2" x14ac:dyDescent="0.25">
      <c r="A37" s="11" t="s">
        <v>22</v>
      </c>
      <c r="B37">
        <v>67.5</v>
      </c>
    </row>
    <row r="38" spans="1:2" x14ac:dyDescent="0.25">
      <c r="A38" t="s">
        <v>84</v>
      </c>
      <c r="B38">
        <v>67.5</v>
      </c>
    </row>
  </sheetData>
  <pageMargins left="0.7" right="0.7" top="0.75" bottom="0.75" header="0.3" footer="0.3"/>
  <pageSetup paperSize="1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Parejas</vt:lpstr>
      <vt:lpstr>Retirados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Hermosilla, David</cp:lastModifiedBy>
  <dcterms:created xsi:type="dcterms:W3CDTF">2025-12-05T12:19:21Z</dcterms:created>
  <dcterms:modified xsi:type="dcterms:W3CDTF">2025-12-12T12:38:51Z</dcterms:modified>
</cp:coreProperties>
</file>